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ziu2\OneDrive\Desktop\심화교육\10. 사업운영본부\"/>
    </mc:Choice>
  </mc:AlternateContent>
  <xr:revisionPtr revIDLastSave="0" documentId="8_{7BE2D77A-8B9A-4DA0-950A-C7E25DC9FE3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운송비관리시트" sheetId="1" r:id="rId1"/>
    <sheet name="운송비기준" sheetId="2" r:id="rId2"/>
    <sheet name="사용법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6" i="2"/>
  <c r="P38" i="1"/>
  <c r="L38" i="1"/>
  <c r="N38" i="1" s="1"/>
  <c r="O38" i="1" s="1"/>
  <c r="K38" i="1"/>
  <c r="J38" i="1"/>
  <c r="E38" i="1"/>
  <c r="D38" i="1"/>
  <c r="P37" i="1"/>
  <c r="K37" i="1"/>
  <c r="J37" i="1"/>
  <c r="L37" i="1" s="1"/>
  <c r="E37" i="1"/>
  <c r="D37" i="1"/>
  <c r="P36" i="1"/>
  <c r="K36" i="1"/>
  <c r="J36" i="1"/>
  <c r="L36" i="1" s="1"/>
  <c r="E36" i="1"/>
  <c r="D36" i="1"/>
  <c r="P35" i="1"/>
  <c r="K35" i="1"/>
  <c r="L35" i="1" s="1"/>
  <c r="J35" i="1"/>
  <c r="E35" i="1"/>
  <c r="D35" i="1"/>
  <c r="P34" i="1"/>
  <c r="L34" i="1"/>
  <c r="N34" i="1" s="1"/>
  <c r="O34" i="1" s="1"/>
  <c r="K34" i="1"/>
  <c r="J34" i="1"/>
  <c r="E34" i="1"/>
  <c r="D34" i="1"/>
  <c r="P33" i="1"/>
  <c r="K33" i="1"/>
  <c r="J33" i="1"/>
  <c r="L33" i="1" s="1"/>
  <c r="E33" i="1"/>
  <c r="D33" i="1"/>
  <c r="P32" i="1"/>
  <c r="K32" i="1"/>
  <c r="J32" i="1"/>
  <c r="L32" i="1" s="1"/>
  <c r="E32" i="1"/>
  <c r="D32" i="1"/>
  <c r="P31" i="1"/>
  <c r="K31" i="1"/>
  <c r="L31" i="1" s="1"/>
  <c r="J31" i="1"/>
  <c r="E31" i="1"/>
  <c r="D31" i="1"/>
  <c r="P30" i="1"/>
  <c r="L30" i="1"/>
  <c r="N30" i="1" s="1"/>
  <c r="O30" i="1" s="1"/>
  <c r="K30" i="1"/>
  <c r="J30" i="1"/>
  <c r="E30" i="1"/>
  <c r="D30" i="1"/>
  <c r="P29" i="1"/>
  <c r="K29" i="1"/>
  <c r="J29" i="1"/>
  <c r="L29" i="1" s="1"/>
  <c r="E29" i="1"/>
  <c r="D29" i="1"/>
  <c r="P28" i="1"/>
  <c r="K28" i="1"/>
  <c r="J28" i="1"/>
  <c r="L28" i="1" s="1"/>
  <c r="E28" i="1"/>
  <c r="D28" i="1"/>
  <c r="P27" i="1"/>
  <c r="K27" i="1"/>
  <c r="L27" i="1" s="1"/>
  <c r="J27" i="1"/>
  <c r="E27" i="1"/>
  <c r="D27" i="1"/>
  <c r="P26" i="1"/>
  <c r="L26" i="1"/>
  <c r="N26" i="1" s="1"/>
  <c r="O26" i="1" s="1"/>
  <c r="K26" i="1"/>
  <c r="J26" i="1"/>
  <c r="E26" i="1"/>
  <c r="D26" i="1"/>
  <c r="P25" i="1"/>
  <c r="K25" i="1"/>
  <c r="J25" i="1"/>
  <c r="L25" i="1" s="1"/>
  <c r="E25" i="1"/>
  <c r="D25" i="1"/>
  <c r="P24" i="1"/>
  <c r="K24" i="1"/>
  <c r="J24" i="1"/>
  <c r="L24" i="1" s="1"/>
  <c r="E24" i="1"/>
  <c r="D24" i="1"/>
  <c r="P23" i="1"/>
  <c r="K23" i="1"/>
  <c r="L23" i="1" s="1"/>
  <c r="J23" i="1"/>
  <c r="E23" i="1"/>
  <c r="D23" i="1"/>
  <c r="P22" i="1"/>
  <c r="L22" i="1"/>
  <c r="M22" i="1" s="1"/>
  <c r="K22" i="1"/>
  <c r="J22" i="1"/>
  <c r="E22" i="1"/>
  <c r="D22" i="1"/>
  <c r="P21" i="1"/>
  <c r="K21" i="1"/>
  <c r="J21" i="1"/>
  <c r="L21" i="1" s="1"/>
  <c r="E21" i="1"/>
  <c r="D21" i="1"/>
  <c r="P20" i="1"/>
  <c r="K20" i="1"/>
  <c r="J20" i="1"/>
  <c r="L20" i="1" s="1"/>
  <c r="E20" i="1"/>
  <c r="D20" i="1"/>
  <c r="P19" i="1"/>
  <c r="K19" i="1"/>
  <c r="L19" i="1" s="1"/>
  <c r="J19" i="1"/>
  <c r="E19" i="1"/>
  <c r="D19" i="1"/>
  <c r="P18" i="1"/>
  <c r="L18" i="1"/>
  <c r="M18" i="1" s="1"/>
  <c r="K18" i="1"/>
  <c r="J18" i="1"/>
  <c r="E18" i="1"/>
  <c r="D18" i="1"/>
  <c r="P17" i="1"/>
  <c r="K17" i="1"/>
  <c r="J17" i="1"/>
  <c r="L17" i="1" s="1"/>
  <c r="E17" i="1"/>
  <c r="D17" i="1"/>
  <c r="P16" i="1"/>
  <c r="K16" i="1"/>
  <c r="J16" i="1"/>
  <c r="L16" i="1" s="1"/>
  <c r="E16" i="1"/>
  <c r="D16" i="1"/>
  <c r="P15" i="1"/>
  <c r="K15" i="1"/>
  <c r="L15" i="1" s="1"/>
  <c r="J15" i="1"/>
  <c r="E15" i="1"/>
  <c r="D15" i="1"/>
  <c r="P14" i="1"/>
  <c r="L14" i="1"/>
  <c r="M14" i="1" s="1"/>
  <c r="K14" i="1"/>
  <c r="J14" i="1"/>
  <c r="E14" i="1"/>
  <c r="D14" i="1"/>
  <c r="P13" i="1"/>
  <c r="K13" i="1"/>
  <c r="J13" i="1"/>
  <c r="L13" i="1" s="1"/>
  <c r="E13" i="1"/>
  <c r="D13" i="1"/>
  <c r="P12" i="1"/>
  <c r="K12" i="1"/>
  <c r="J12" i="1"/>
  <c r="L12" i="1" s="1"/>
  <c r="E12" i="1"/>
  <c r="D12" i="1"/>
  <c r="P11" i="1"/>
  <c r="K11" i="1"/>
  <c r="J11" i="1"/>
  <c r="E11" i="1"/>
  <c r="D11" i="1"/>
  <c r="P10" i="1"/>
  <c r="K10" i="1"/>
  <c r="J10" i="1"/>
  <c r="L10" i="1" s="1"/>
  <c r="M10" i="1" s="1"/>
  <c r="E10" i="1"/>
  <c r="D10" i="1"/>
  <c r="L11" i="1" l="1"/>
  <c r="N11" i="1" s="1"/>
  <c r="O11" i="1" s="1"/>
  <c r="N17" i="1"/>
  <c r="O17" i="1" s="1"/>
  <c r="M17" i="1"/>
  <c r="M20" i="1"/>
  <c r="N20" i="1"/>
  <c r="O20" i="1" s="1"/>
  <c r="N33" i="1"/>
  <c r="O33" i="1" s="1"/>
  <c r="M33" i="1"/>
  <c r="M35" i="1"/>
  <c r="N35" i="1"/>
  <c r="O35" i="1" s="1"/>
  <c r="M36" i="1"/>
  <c r="N36" i="1"/>
  <c r="O36" i="1" s="1"/>
  <c r="M19" i="1"/>
  <c r="N19" i="1"/>
  <c r="O19" i="1" s="1"/>
  <c r="N21" i="1"/>
  <c r="O21" i="1" s="1"/>
  <c r="M21" i="1"/>
  <c r="N23" i="1"/>
  <c r="O23" i="1" s="1"/>
  <c r="M23" i="1"/>
  <c r="M24" i="1"/>
  <c r="N24" i="1"/>
  <c r="O24" i="1" s="1"/>
  <c r="N37" i="1"/>
  <c r="O37" i="1" s="1"/>
  <c r="M37" i="1"/>
  <c r="M12" i="1"/>
  <c r="N12" i="1"/>
  <c r="O12" i="1" s="1"/>
  <c r="N25" i="1"/>
  <c r="O25" i="1" s="1"/>
  <c r="M25" i="1"/>
  <c r="M27" i="1"/>
  <c r="N27" i="1"/>
  <c r="O27" i="1" s="1"/>
  <c r="M28" i="1"/>
  <c r="N28" i="1"/>
  <c r="O28" i="1" s="1"/>
  <c r="N13" i="1"/>
  <c r="O13" i="1" s="1"/>
  <c r="M13" i="1"/>
  <c r="M15" i="1"/>
  <c r="N15" i="1"/>
  <c r="O15" i="1" s="1"/>
  <c r="M16" i="1"/>
  <c r="N16" i="1"/>
  <c r="O16" i="1" s="1"/>
  <c r="N29" i="1"/>
  <c r="O29" i="1" s="1"/>
  <c r="M29" i="1"/>
  <c r="M31" i="1"/>
  <c r="N31" i="1"/>
  <c r="O31" i="1" s="1"/>
  <c r="N32" i="1"/>
  <c r="O32" i="1" s="1"/>
  <c r="M32" i="1"/>
  <c r="N10" i="1"/>
  <c r="O10" i="1" s="1"/>
  <c r="N14" i="1"/>
  <c r="O14" i="1" s="1"/>
  <c r="N18" i="1"/>
  <c r="O18" i="1" s="1"/>
  <c r="N22" i="1"/>
  <c r="O22" i="1" s="1"/>
  <c r="M26" i="1"/>
  <c r="M30" i="1"/>
  <c r="M34" i="1"/>
  <c r="M38" i="1"/>
  <c r="M11" i="1" l="1"/>
</calcChain>
</file>

<file path=xl/sharedStrings.xml><?xml version="1.0" encoding="utf-8"?>
<sst xmlns="http://schemas.openxmlformats.org/spreadsheetml/2006/main" count="82" uniqueCount="67">
  <si>
    <t>운송비 자동 산출 관리시트</t>
  </si>
  <si>
    <t>노란색 입력칸에 용기 사이즈와 적입수량을 입력하면, 상차 PLT·1회 상차수량·개당 운송비가 자동 계산됩니다.</t>
  </si>
  <si>
    <t>기본 설정</t>
  </si>
  <si>
    <t>산출 공식</t>
  </si>
  <si>
    <t>납품구간</t>
  </si>
  <si>
    <t>영천↔울산</t>
  </si>
  <si>
    <t>적재함 장(mm)</t>
  </si>
  <si>
    <t>상차 PLT = MAX(장기준 PLT, 폭기준 PLT)
적재단수 = 용기고 1,050mm 이하 3단 / 1,380mm 이하 2단 / 초과 1단
장기준 PLT = INT(적재함장/용기장) × INT(적재함폭/용기폭) × 적재단수
폭기준 PLT = INT(적재함장/용기폭) × INT(적재함폭/용기장) × 적재단수
개당 운송비 = 1회 운송비 ÷ (적입수량 × 상차 PLT)</t>
  </si>
  <si>
    <t>차량톤수</t>
  </si>
  <si>
    <t>9.5TON</t>
  </si>
  <si>
    <t>적재함 폭(mm)</t>
  </si>
  <si>
    <t>1회 운송비</t>
  </si>
  <si>
    <t>적재함 고(mm)</t>
  </si>
  <si>
    <t>NO</t>
  </si>
  <si>
    <t>차종</t>
  </si>
  <si>
    <t>품명</t>
  </si>
  <si>
    <t>납품차량</t>
  </si>
  <si>
    <t>용기 장(mm)</t>
  </si>
  <si>
    <t>용기 폭(mm)</t>
  </si>
  <si>
    <t>용기 고(mm)</t>
  </si>
  <si>
    <t>적입수량
(EA/PLT)</t>
  </si>
  <si>
    <t>장기준
PLT</t>
  </si>
  <si>
    <t>폭기준
PLT</t>
  </si>
  <si>
    <t>상차PLT
자동</t>
  </si>
  <si>
    <t>추천
상차방법</t>
  </si>
  <si>
    <t>1회 상차수량
(EA)</t>
  </si>
  <si>
    <t>개당 운송비
(원/EA)</t>
  </si>
  <si>
    <t>적재단수
/비고</t>
  </si>
  <si>
    <t>LX3</t>
  </si>
  <si>
    <t>PNL&amp;MBR ASSY-RR FLR</t>
  </si>
  <si>
    <t>NE</t>
  </si>
  <si>
    <t>PNL ASSY-F/APRN&amp;MBR COMPL,LH</t>
  </si>
  <si>
    <t>※ 적재단수 기준: 용기 높이 1,050mm 이하 = 3단, 1,380mm 이하 = 2단, 1,380mm 초과 = 1단. 실제 상차 시 제품 간섭·고정상태는 별도 확인 필요.</t>
  </si>
  <si>
    <t>거리별 운송비 기준 및 계산기</t>
  </si>
  <si>
    <t>유효 적재중량(TON)</t>
  </si>
  <si>
    <t>거리 기준 운송비 계산기</t>
  </si>
  <si>
    <t>5TON</t>
  </si>
  <si>
    <t>8TON</t>
  </si>
  <si>
    <t>편도거리(km)</t>
  </si>
  <si>
    <t>거리기준 운송비</t>
  </si>
  <si>
    <t>11TON</t>
  </si>
  <si>
    <t>비고</t>
  </si>
  <si>
    <t>60km 기준 자동 분기</t>
  </si>
  <si>
    <t>60km 이하 계수</t>
  </si>
  <si>
    <t>60km 이하 고정금액</t>
  </si>
  <si>
    <t>60km 초과 계수</t>
  </si>
  <si>
    <t>60km 초과 고정금액</t>
  </si>
  <si>
    <t>산출 예시</t>
  </si>
  <si>
    <t>예시 조건</t>
  </si>
  <si>
    <t>9.5TON / 편도 70km / 적입수량 42EA / 상차 6PLT</t>
  </si>
  <si>
    <t>1회 상차수량</t>
  </si>
  <si>
    <t>개당 운송비</t>
  </si>
  <si>
    <t>사용법 및 입력 기준</t>
  </si>
  <si>
    <t>구분</t>
  </si>
  <si>
    <t>내용</t>
  </si>
  <si>
    <t>1. 기본값 확인</t>
  </si>
  <si>
    <t>운송비관리시트 상단의 납품구간, 차량톤수, 1회 운송비, 적재함 사이즈를 확인합니다. 과제 기준은 9.5TON, 영천↔울산, 188,000원입니다.</t>
  </si>
  <si>
    <t>2. 품목별 입력</t>
  </si>
  <si>
    <t>품목 행에서 노란색 칸인 용기 장·폭·고(mm), 적입수량(EA/PLT)을 입력합니다.</t>
  </si>
  <si>
    <t>3. 자동 산출</t>
  </si>
  <si>
    <t>용기 장·폭·고(mm)와 적입수량(EA/PLT)을 입력하면 장기준 PLT, 폭기준 PLT, 상차PLT, 추천 상차방법, 적재단수/비고, 1회 상차수량, 개당 운송비가 자동 계산됩니다.</t>
  </si>
  <si>
    <t>4. 상차방법 판단</t>
  </si>
  <si>
    <t>상차방법은 장기준과 폭기준 중 더 많은 PLT가 실리는 방향을 추천하며, 용기 높이 기준으로 1,050mm 이하 3단, 1,380mm 이하 2단, 초과 시 1단 적재가 자동 반영됩니다. 실제 현장 상차 가능 여부는 제품 간섭, 돌출부, 고정/포장 조건을 별도 확인해야 합니다.</t>
  </si>
  <si>
    <t>5. 운송비 변경</t>
  </si>
  <si>
    <t>1회 운송비가 달라지면 운송비관리시트 B7만 수정하면 전체 개당 운송비가 다시 계산됩니다.</t>
  </si>
  <si>
    <t>6. 거리 기준 계산</t>
  </si>
  <si>
    <t>거리별 산출이 필요하면 운송비기준 시트의 계산기에 차량톤수와 편도거리를 입력하여 거리기준 운송비를 확인할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</si>
</sst>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#,##0.0&quot;원&quot;"/>
    <numFmt numFmtId="178" formatCode="0.0"/>
  </numFmts>
  <fonts count="8">
    <font>
      <sz val="11"/>
      <name val="Carlito"/>
    </font>
    <font>
      <b/>
      <sz val="18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164E63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4" fillId="5" borderId="0" xfId="1" applyFont="1" applyFill="1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0" fillId="6" borderId="0" xfId="1" applyFont="1" applyFill="1" applyAlignment="1">
      <alignment horizontal="center"/>
    </xf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6" borderId="0" xfId="1" applyFont="1" applyFill="1" applyAlignment="1">
      <alignment horizontal="center" vertical="center" wrapText="1"/>
    </xf>
    <xf numFmtId="0" fontId="0" fillId="6" borderId="0" xfId="1" applyFont="1" applyFill="1" applyAlignment="1">
      <alignment horizontal="left" vertical="center" wrapText="1"/>
    </xf>
    <xf numFmtId="0" fontId="0" fillId="7" borderId="0" xfId="1" applyFont="1" applyFill="1" applyAlignment="1">
      <alignment horizontal="center" vertical="center" wrapText="1"/>
    </xf>
    <xf numFmtId="176" fontId="0" fillId="7" borderId="0" xfId="1" applyNumberFormat="1" applyFont="1" applyFill="1" applyAlignment="1">
      <alignment horizontal="center" vertical="center" wrapText="1"/>
    </xf>
    <xf numFmtId="3" fontId="0" fillId="6" borderId="0" xfId="1" applyNumberFormat="1" applyFont="1" applyFill="1" applyAlignment="1">
      <alignment horizontal="center" vertical="center" wrapText="1"/>
    </xf>
    <xf numFmtId="3" fontId="0" fillId="7" borderId="0" xfId="1" applyNumberFormat="1" applyFont="1" applyFill="1" applyAlignment="1">
      <alignment horizontal="center" vertical="center" wrapText="1"/>
    </xf>
    <xf numFmtId="177" fontId="0" fillId="7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/>
    </xf>
    <xf numFmtId="0" fontId="0" fillId="0" borderId="0" xfId="1" applyFont="1" applyAlignment="1">
      <alignment horizontal="center"/>
    </xf>
    <xf numFmtId="3" fontId="0" fillId="0" borderId="0" xfId="1" applyNumberFormat="1" applyFont="1" applyAlignment="1">
      <alignment horizontal="center"/>
    </xf>
    <xf numFmtId="178" fontId="0" fillId="0" borderId="0" xfId="1" applyNumberFormat="1" applyFont="1" applyAlignment="1">
      <alignment horizontal="center"/>
    </xf>
    <xf numFmtId="176" fontId="0" fillId="7" borderId="0" xfId="1" applyNumberFormat="1" applyFont="1" applyFill="1" applyAlignment="1">
      <alignment horizontal="center"/>
    </xf>
    <xf numFmtId="176" fontId="0" fillId="0" borderId="0" xfId="1" applyNumberFormat="1" applyFont="1"/>
    <xf numFmtId="3" fontId="0" fillId="0" borderId="0" xfId="1" applyNumberFormat="1" applyFont="1"/>
    <xf numFmtId="177" fontId="0" fillId="7" borderId="0" xfId="1" applyNumberFormat="1" applyFont="1" applyFill="1"/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76" fontId="0" fillId="6" borderId="0" xfId="1" applyNumberFormat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horizontal="left" vertical="center"/>
    </xf>
    <xf numFmtId="0" fontId="3" fillId="4" borderId="0" xfId="1" applyFont="1" applyFill="1" applyAlignment="1">
      <alignment horizontal="center" vertical="center"/>
    </xf>
    <xf numFmtId="0" fontId="0" fillId="3" borderId="0" xfId="1" applyFont="1" applyFill="1" applyAlignment="1">
      <alignment horizontal="left" vertical="top" wrapText="1"/>
    </xf>
    <xf numFmtId="0" fontId="0" fillId="3" borderId="0" xfId="1" applyFont="1" applyFill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eightManagementTable" displayName="FreightManagementTable" ref="A9:P39">
  <tableColumns count="16">
    <tableColumn id="1" xr3:uid="{00000000-0010-0000-0000-000001000000}" name="NO"/>
    <tableColumn id="2" xr3:uid="{00000000-0010-0000-0000-000002000000}" name="차종"/>
    <tableColumn id="3" xr3:uid="{00000000-0010-0000-0000-000003000000}" name="품명"/>
    <tableColumn id="4" xr3:uid="{00000000-0010-0000-0000-000004000000}" name="납품차량"/>
    <tableColumn id="5" xr3:uid="{00000000-0010-0000-0000-000005000000}" name="1회 운송비"/>
    <tableColumn id="6" xr3:uid="{00000000-0010-0000-0000-000006000000}" name="용기 장(mm)"/>
    <tableColumn id="7" xr3:uid="{00000000-0010-0000-0000-000007000000}" name="용기 폭(mm)"/>
    <tableColumn id="8" xr3:uid="{00000000-0010-0000-0000-000008000000}" name="용기 고(mm)"/>
    <tableColumn id="9" xr3:uid="{00000000-0010-0000-0000-000009000000}" name="적입수량_x000a_(EA/PLT)"/>
    <tableColumn id="10" xr3:uid="{00000000-0010-0000-0000-00000A000000}" name="장기준_x000a_PLT"/>
    <tableColumn id="11" xr3:uid="{00000000-0010-0000-0000-00000B000000}" name="폭기준_x000a_PLT"/>
    <tableColumn id="12" xr3:uid="{00000000-0010-0000-0000-00000C000000}" name="상차PLT_x000a_자동"/>
    <tableColumn id="13" xr3:uid="{00000000-0010-0000-0000-00000D000000}" name="추천_x000a_상차방법"/>
    <tableColumn id="14" xr3:uid="{00000000-0010-0000-0000-00000E000000}" name="1회 상차수량_x000a_(EA)"/>
    <tableColumn id="15" xr3:uid="{00000000-0010-0000-0000-00000F000000}" name="개당 운송비_x000a_(원/EA)"/>
    <tableColumn id="16" xr3:uid="{00000000-0010-0000-0000-000010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L18" sqref="L18"/>
    </sheetView>
  </sheetViews>
  <sheetFormatPr defaultRowHeight="13.8"/>
  <cols>
    <col min="1" max="1" width="8" customWidth="1"/>
    <col min="2" max="2" width="12" customWidth="1"/>
    <col min="3" max="3" width="34" bestFit="1" customWidth="1"/>
    <col min="4" max="5" width="13" customWidth="1"/>
    <col min="6" max="9" width="12" customWidth="1"/>
    <col min="10" max="12" width="10" customWidth="1"/>
    <col min="13" max="13" width="18" customWidth="1"/>
    <col min="14" max="14" width="14" customWidth="1"/>
    <col min="15" max="15" width="16" customWidth="1"/>
    <col min="16" max="16" width="18" customWidth="1"/>
  </cols>
  <sheetData>
    <row r="1" spans="1:16" ht="30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1.9" customHeight="1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8.1" customHeight="1"/>
    <row r="4" spans="1:16" ht="24" customHeight="1">
      <c r="A4" s="29" t="s">
        <v>2</v>
      </c>
      <c r="B4" s="27"/>
      <c r="C4" s="27"/>
      <c r="D4" s="27"/>
      <c r="E4" s="27"/>
      <c r="G4" s="29" t="s">
        <v>3</v>
      </c>
      <c r="H4" s="27"/>
      <c r="I4" s="27"/>
      <c r="J4" s="27"/>
      <c r="K4" s="27"/>
      <c r="L4" s="27"/>
      <c r="M4" s="27"/>
      <c r="N4" s="27"/>
      <c r="O4" s="27"/>
      <c r="P4" s="27"/>
    </row>
    <row r="5" spans="1:16" ht="27.9" customHeight="1">
      <c r="A5" s="23" t="s">
        <v>4</v>
      </c>
      <c r="B5" s="7" t="s">
        <v>5</v>
      </c>
      <c r="C5" s="24"/>
      <c r="D5" s="23" t="s">
        <v>6</v>
      </c>
      <c r="E5" s="11">
        <v>10200</v>
      </c>
      <c r="G5" s="30" t="s">
        <v>7</v>
      </c>
      <c r="H5" s="31"/>
      <c r="I5" s="31"/>
      <c r="J5" s="31"/>
      <c r="K5" s="31"/>
      <c r="L5" s="31"/>
      <c r="M5" s="31"/>
      <c r="N5" s="31"/>
      <c r="O5" s="31"/>
      <c r="P5" s="31"/>
    </row>
    <row r="6" spans="1:16" ht="27.9" customHeight="1">
      <c r="A6" s="23" t="s">
        <v>8</v>
      </c>
      <c r="B6" s="7" t="s">
        <v>9</v>
      </c>
      <c r="C6" s="24"/>
      <c r="D6" s="23" t="s">
        <v>10</v>
      </c>
      <c r="E6" s="11">
        <v>2350</v>
      </c>
      <c r="G6" s="31"/>
      <c r="H6" s="31"/>
      <c r="I6" s="31"/>
      <c r="J6" s="31"/>
      <c r="K6" s="31"/>
      <c r="L6" s="31"/>
      <c r="M6" s="31"/>
      <c r="N6" s="31"/>
      <c r="O6" s="31"/>
      <c r="P6" s="31"/>
    </row>
    <row r="7" spans="1:16" ht="27.9" customHeight="1">
      <c r="A7" s="23" t="s">
        <v>11</v>
      </c>
      <c r="B7" s="25">
        <v>188000</v>
      </c>
      <c r="C7" s="24"/>
      <c r="D7" s="23" t="s">
        <v>12</v>
      </c>
      <c r="E7" s="11">
        <v>2750</v>
      </c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16" ht="8.1" customHeight="1"/>
    <row r="9" spans="1:16" ht="36" customHeight="1">
      <c r="A9" s="5" t="s">
        <v>13</v>
      </c>
      <c r="B9" s="5" t="s">
        <v>14</v>
      </c>
      <c r="C9" s="5" t="s">
        <v>15</v>
      </c>
      <c r="D9" s="5" t="s">
        <v>16</v>
      </c>
      <c r="E9" s="5" t="s">
        <v>11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</row>
    <row r="10" spans="1:16" ht="24" customHeight="1">
      <c r="A10" s="6">
        <v>1</v>
      </c>
      <c r="B10" s="7" t="s">
        <v>28</v>
      </c>
      <c r="C10" s="8" t="s">
        <v>29</v>
      </c>
      <c r="D10" s="9" t="str">
        <f t="shared" ref="D10:D38" si="0">IF(AND(B10="",C10=""),"",$B$6)</f>
        <v>9.5TON</v>
      </c>
      <c r="E10" s="10">
        <f t="shared" ref="E10:E38" si="1">IF(AND(B10="",C10=""),"",$B$7)</f>
        <v>188000</v>
      </c>
      <c r="F10" s="11">
        <v>1850</v>
      </c>
      <c r="G10" s="11">
        <v>2250</v>
      </c>
      <c r="H10" s="11">
        <v>2680</v>
      </c>
      <c r="I10" s="11">
        <v>5</v>
      </c>
      <c r="J10" s="12">
        <f t="shared" ref="J10:J38" si="2">IF(COUNTA(F10:H10)&lt;3,"",IFERROR(INT($E$5/F10)*INT($E$6/G10)*IF(H10&lt;=1050,3,IF(H10&lt;=1380,2,1)),""))</f>
        <v>5</v>
      </c>
      <c r="K10" s="12">
        <f t="shared" ref="K10:K38" si="3">IF(COUNTA(F10:H10)&lt;3,"",IFERROR(INT($E$5/G10)*INT($E$6/F10)*IF(H10&lt;=1050,3,IF(H10&lt;=1380,2,1)),""))</f>
        <v>4</v>
      </c>
      <c r="L10" s="12">
        <f t="shared" ref="L10:L38" si="4">IF(OR(J10="",K10=""),"",MAX(J10,K10))</f>
        <v>5</v>
      </c>
      <c r="M10" s="12" t="str">
        <f t="shared" ref="M10:M38" si="5">IF(L10="","",IF(J10=K10,"장/폭 동일",IF(J10&gt;K10,"장기준","폭기준"))&amp;" / "&amp;IF(H10&lt;=1050,"3단 적재",IF(H10&lt;=1380,"2단 적재","1단 적재")))</f>
        <v>장기준 / 1단 적재</v>
      </c>
      <c r="N10" s="12">
        <f t="shared" ref="N10:N38" si="6">IF(OR(I10="",L10=""),"",I10*L10)</f>
        <v>25</v>
      </c>
      <c r="O10" s="13">
        <f t="shared" ref="O10:O38" si="7">IF(N10="","",ROUND(E10/N10,1))</f>
        <v>7520</v>
      </c>
      <c r="P10" s="8" t="str">
        <f t="shared" ref="P10:P38" si="8">IF(H10="","",IF(H10&lt;=1050,"3단 적재 적용",IF(H10&lt;=1380,"2단 적재 적용","1단 적재 적용")))</f>
        <v>1단 적재 적용</v>
      </c>
    </row>
    <row r="11" spans="1:16" ht="24" customHeight="1">
      <c r="A11" s="6">
        <v>2</v>
      </c>
      <c r="B11" s="7" t="s">
        <v>30</v>
      </c>
      <c r="C11" s="8" t="s">
        <v>31</v>
      </c>
      <c r="D11" s="9" t="str">
        <f t="shared" si="0"/>
        <v>9.5TON</v>
      </c>
      <c r="E11" s="10">
        <f t="shared" si="1"/>
        <v>188000</v>
      </c>
      <c r="F11" s="11">
        <v>2330</v>
      </c>
      <c r="G11" s="11">
        <v>1800</v>
      </c>
      <c r="H11" s="11">
        <v>1380</v>
      </c>
      <c r="I11" s="11">
        <v>9</v>
      </c>
      <c r="J11" s="12">
        <f t="shared" si="2"/>
        <v>8</v>
      </c>
      <c r="K11" s="12">
        <f t="shared" si="3"/>
        <v>10</v>
      </c>
      <c r="L11" s="12">
        <f t="shared" si="4"/>
        <v>10</v>
      </c>
      <c r="M11" s="12" t="str">
        <f t="shared" si="5"/>
        <v>폭기준 / 2단 적재</v>
      </c>
      <c r="N11" s="12">
        <f t="shared" si="6"/>
        <v>90</v>
      </c>
      <c r="O11" s="13">
        <f t="shared" si="7"/>
        <v>2088.9</v>
      </c>
      <c r="P11" s="8" t="str">
        <f t="shared" si="8"/>
        <v>2단 적재 적용</v>
      </c>
    </row>
    <row r="12" spans="1:16" ht="24" customHeight="1">
      <c r="A12" s="6">
        <v>3</v>
      </c>
      <c r="B12" s="7"/>
      <c r="C12" s="8"/>
      <c r="D12" s="9" t="str">
        <f t="shared" si="0"/>
        <v/>
      </c>
      <c r="E12" s="10" t="str">
        <f t="shared" si="1"/>
        <v/>
      </c>
      <c r="F12" s="11"/>
      <c r="G12" s="11"/>
      <c r="H12" s="11"/>
      <c r="I12" s="11"/>
      <c r="J12" s="12" t="str">
        <f t="shared" si="2"/>
        <v/>
      </c>
      <c r="K12" s="12" t="str">
        <f t="shared" si="3"/>
        <v/>
      </c>
      <c r="L12" s="12" t="str">
        <f t="shared" si="4"/>
        <v/>
      </c>
      <c r="M12" s="12" t="str">
        <f t="shared" si="5"/>
        <v/>
      </c>
      <c r="N12" s="12" t="str">
        <f t="shared" si="6"/>
        <v/>
      </c>
      <c r="O12" s="13" t="str">
        <f t="shared" si="7"/>
        <v/>
      </c>
      <c r="P12" s="8" t="str">
        <f t="shared" si="8"/>
        <v/>
      </c>
    </row>
    <row r="13" spans="1:16" ht="24" customHeight="1">
      <c r="A13" s="6">
        <v>4</v>
      </c>
      <c r="B13" s="7"/>
      <c r="C13" s="8"/>
      <c r="D13" s="9" t="str">
        <f t="shared" si="0"/>
        <v/>
      </c>
      <c r="E13" s="10" t="str">
        <f t="shared" si="1"/>
        <v/>
      </c>
      <c r="F13" s="11"/>
      <c r="G13" s="11"/>
      <c r="H13" s="11"/>
      <c r="I13" s="11"/>
      <c r="J13" s="12" t="str">
        <f t="shared" si="2"/>
        <v/>
      </c>
      <c r="K13" s="12" t="str">
        <f t="shared" si="3"/>
        <v/>
      </c>
      <c r="L13" s="12" t="str">
        <f t="shared" si="4"/>
        <v/>
      </c>
      <c r="M13" s="12" t="str">
        <f t="shared" si="5"/>
        <v/>
      </c>
      <c r="N13" s="12" t="str">
        <f t="shared" si="6"/>
        <v/>
      </c>
      <c r="O13" s="13" t="str">
        <f t="shared" si="7"/>
        <v/>
      </c>
      <c r="P13" s="8" t="str">
        <f t="shared" si="8"/>
        <v/>
      </c>
    </row>
    <row r="14" spans="1:16" ht="24" customHeight="1">
      <c r="A14" s="6">
        <v>5</v>
      </c>
      <c r="B14" s="7"/>
      <c r="C14" s="8"/>
      <c r="D14" s="9" t="str">
        <f t="shared" si="0"/>
        <v/>
      </c>
      <c r="E14" s="10" t="str">
        <f t="shared" si="1"/>
        <v/>
      </c>
      <c r="F14" s="11"/>
      <c r="G14" s="11"/>
      <c r="H14" s="11"/>
      <c r="I14" s="11"/>
      <c r="J14" s="12" t="str">
        <f t="shared" si="2"/>
        <v/>
      </c>
      <c r="K14" s="12" t="str">
        <f t="shared" si="3"/>
        <v/>
      </c>
      <c r="L14" s="12" t="str">
        <f t="shared" si="4"/>
        <v/>
      </c>
      <c r="M14" s="12" t="str">
        <f t="shared" si="5"/>
        <v/>
      </c>
      <c r="N14" s="12" t="str">
        <f t="shared" si="6"/>
        <v/>
      </c>
      <c r="O14" s="13" t="str">
        <f t="shared" si="7"/>
        <v/>
      </c>
      <c r="P14" s="8" t="str">
        <f t="shared" si="8"/>
        <v/>
      </c>
    </row>
    <row r="15" spans="1:16" ht="24" customHeight="1">
      <c r="A15" s="6">
        <v>6</v>
      </c>
      <c r="B15" s="7"/>
      <c r="C15" s="8"/>
      <c r="D15" s="9" t="str">
        <f t="shared" si="0"/>
        <v/>
      </c>
      <c r="E15" s="10" t="str">
        <f t="shared" si="1"/>
        <v/>
      </c>
      <c r="F15" s="11"/>
      <c r="G15" s="11"/>
      <c r="H15" s="11"/>
      <c r="I15" s="11"/>
      <c r="J15" s="12" t="str">
        <f t="shared" si="2"/>
        <v/>
      </c>
      <c r="K15" s="12" t="str">
        <f t="shared" si="3"/>
        <v/>
      </c>
      <c r="L15" s="12" t="str">
        <f t="shared" si="4"/>
        <v/>
      </c>
      <c r="M15" s="12" t="str">
        <f t="shared" si="5"/>
        <v/>
      </c>
      <c r="N15" s="12" t="str">
        <f t="shared" si="6"/>
        <v/>
      </c>
      <c r="O15" s="13" t="str">
        <f t="shared" si="7"/>
        <v/>
      </c>
      <c r="P15" s="8" t="str">
        <f t="shared" si="8"/>
        <v/>
      </c>
    </row>
    <row r="16" spans="1:16" ht="24" customHeight="1">
      <c r="A16" s="6">
        <v>7</v>
      </c>
      <c r="B16" s="7"/>
      <c r="C16" s="8"/>
      <c r="D16" s="9" t="str">
        <f t="shared" si="0"/>
        <v/>
      </c>
      <c r="E16" s="10" t="str">
        <f t="shared" si="1"/>
        <v/>
      </c>
      <c r="F16" s="11"/>
      <c r="G16" s="11"/>
      <c r="H16" s="11"/>
      <c r="I16" s="11"/>
      <c r="J16" s="12" t="str">
        <f t="shared" si="2"/>
        <v/>
      </c>
      <c r="K16" s="12" t="str">
        <f t="shared" si="3"/>
        <v/>
      </c>
      <c r="L16" s="12" t="str">
        <f t="shared" si="4"/>
        <v/>
      </c>
      <c r="M16" s="12" t="str">
        <f t="shared" si="5"/>
        <v/>
      </c>
      <c r="N16" s="12" t="str">
        <f t="shared" si="6"/>
        <v/>
      </c>
      <c r="O16" s="13" t="str">
        <f t="shared" si="7"/>
        <v/>
      </c>
      <c r="P16" s="8" t="str">
        <f t="shared" si="8"/>
        <v/>
      </c>
    </row>
    <row r="17" spans="1:16" ht="24" customHeight="1">
      <c r="A17" s="6">
        <v>8</v>
      </c>
      <c r="B17" s="7"/>
      <c r="C17" s="8"/>
      <c r="D17" s="9" t="str">
        <f t="shared" si="0"/>
        <v/>
      </c>
      <c r="E17" s="10" t="str">
        <f t="shared" si="1"/>
        <v/>
      </c>
      <c r="F17" s="11"/>
      <c r="G17" s="11"/>
      <c r="H17" s="11"/>
      <c r="I17" s="11"/>
      <c r="J17" s="12" t="str">
        <f t="shared" si="2"/>
        <v/>
      </c>
      <c r="K17" s="12" t="str">
        <f t="shared" si="3"/>
        <v/>
      </c>
      <c r="L17" s="12" t="str">
        <f t="shared" si="4"/>
        <v/>
      </c>
      <c r="M17" s="12" t="str">
        <f t="shared" si="5"/>
        <v/>
      </c>
      <c r="N17" s="12" t="str">
        <f t="shared" si="6"/>
        <v/>
      </c>
      <c r="O17" s="13" t="str">
        <f t="shared" si="7"/>
        <v/>
      </c>
      <c r="P17" s="8" t="str">
        <f t="shared" si="8"/>
        <v/>
      </c>
    </row>
    <row r="18" spans="1:16" ht="24" customHeight="1">
      <c r="A18" s="6">
        <v>9</v>
      </c>
      <c r="B18" s="7"/>
      <c r="C18" s="8"/>
      <c r="D18" s="9" t="str">
        <f t="shared" si="0"/>
        <v/>
      </c>
      <c r="E18" s="10" t="str">
        <f t="shared" si="1"/>
        <v/>
      </c>
      <c r="F18" s="11"/>
      <c r="G18" s="11"/>
      <c r="H18" s="11"/>
      <c r="I18" s="11"/>
      <c r="J18" s="12" t="str">
        <f t="shared" si="2"/>
        <v/>
      </c>
      <c r="K18" s="12" t="str">
        <f t="shared" si="3"/>
        <v/>
      </c>
      <c r="L18" s="12" t="str">
        <f t="shared" si="4"/>
        <v/>
      </c>
      <c r="M18" s="12" t="str">
        <f t="shared" si="5"/>
        <v/>
      </c>
      <c r="N18" s="12" t="str">
        <f t="shared" si="6"/>
        <v/>
      </c>
      <c r="O18" s="13" t="str">
        <f t="shared" si="7"/>
        <v/>
      </c>
      <c r="P18" s="8" t="str">
        <f t="shared" si="8"/>
        <v/>
      </c>
    </row>
    <row r="19" spans="1:16" ht="24" customHeight="1">
      <c r="A19" s="6">
        <v>10</v>
      </c>
      <c r="B19" s="7"/>
      <c r="C19" s="8"/>
      <c r="D19" s="9" t="str">
        <f t="shared" si="0"/>
        <v/>
      </c>
      <c r="E19" s="10" t="str">
        <f t="shared" si="1"/>
        <v/>
      </c>
      <c r="F19" s="11"/>
      <c r="G19" s="11"/>
      <c r="H19" s="11"/>
      <c r="I19" s="11"/>
      <c r="J19" s="12" t="str">
        <f t="shared" si="2"/>
        <v/>
      </c>
      <c r="K19" s="12" t="str">
        <f t="shared" si="3"/>
        <v/>
      </c>
      <c r="L19" s="12" t="str">
        <f t="shared" si="4"/>
        <v/>
      </c>
      <c r="M19" s="12" t="str">
        <f t="shared" si="5"/>
        <v/>
      </c>
      <c r="N19" s="12" t="str">
        <f t="shared" si="6"/>
        <v/>
      </c>
      <c r="O19" s="13" t="str">
        <f t="shared" si="7"/>
        <v/>
      </c>
      <c r="P19" s="8" t="str">
        <f t="shared" si="8"/>
        <v/>
      </c>
    </row>
    <row r="20" spans="1:16" ht="24" customHeight="1">
      <c r="A20" s="6">
        <v>11</v>
      </c>
      <c r="B20" s="7"/>
      <c r="C20" s="8"/>
      <c r="D20" s="9" t="str">
        <f t="shared" si="0"/>
        <v/>
      </c>
      <c r="E20" s="10" t="str">
        <f t="shared" si="1"/>
        <v/>
      </c>
      <c r="F20" s="11"/>
      <c r="G20" s="11"/>
      <c r="H20" s="11"/>
      <c r="I20" s="11"/>
      <c r="J20" s="12" t="str">
        <f t="shared" si="2"/>
        <v/>
      </c>
      <c r="K20" s="12" t="str">
        <f t="shared" si="3"/>
        <v/>
      </c>
      <c r="L20" s="12" t="str">
        <f t="shared" si="4"/>
        <v/>
      </c>
      <c r="M20" s="12" t="str">
        <f t="shared" si="5"/>
        <v/>
      </c>
      <c r="N20" s="12" t="str">
        <f t="shared" si="6"/>
        <v/>
      </c>
      <c r="O20" s="13" t="str">
        <f t="shared" si="7"/>
        <v/>
      </c>
      <c r="P20" s="8" t="str">
        <f t="shared" si="8"/>
        <v/>
      </c>
    </row>
    <row r="21" spans="1:16" ht="24" customHeight="1">
      <c r="A21" s="6">
        <v>12</v>
      </c>
      <c r="B21" s="7"/>
      <c r="C21" s="8"/>
      <c r="D21" s="9" t="str">
        <f t="shared" si="0"/>
        <v/>
      </c>
      <c r="E21" s="10" t="str">
        <f t="shared" si="1"/>
        <v/>
      </c>
      <c r="F21" s="11"/>
      <c r="G21" s="11"/>
      <c r="H21" s="11"/>
      <c r="I21" s="11"/>
      <c r="J21" s="12" t="str">
        <f t="shared" si="2"/>
        <v/>
      </c>
      <c r="K21" s="12" t="str">
        <f t="shared" si="3"/>
        <v/>
      </c>
      <c r="L21" s="12" t="str">
        <f t="shared" si="4"/>
        <v/>
      </c>
      <c r="M21" s="12" t="str">
        <f t="shared" si="5"/>
        <v/>
      </c>
      <c r="N21" s="12" t="str">
        <f t="shared" si="6"/>
        <v/>
      </c>
      <c r="O21" s="13" t="str">
        <f t="shared" si="7"/>
        <v/>
      </c>
      <c r="P21" s="8" t="str">
        <f t="shared" si="8"/>
        <v/>
      </c>
    </row>
    <row r="22" spans="1:16" ht="24" customHeight="1">
      <c r="A22" s="6">
        <v>13</v>
      </c>
      <c r="B22" s="7"/>
      <c r="C22" s="8"/>
      <c r="D22" s="9" t="str">
        <f t="shared" si="0"/>
        <v/>
      </c>
      <c r="E22" s="10" t="str">
        <f t="shared" si="1"/>
        <v/>
      </c>
      <c r="F22" s="11"/>
      <c r="G22" s="11"/>
      <c r="H22" s="11"/>
      <c r="I22" s="11"/>
      <c r="J22" s="12" t="str">
        <f t="shared" si="2"/>
        <v/>
      </c>
      <c r="K22" s="12" t="str">
        <f t="shared" si="3"/>
        <v/>
      </c>
      <c r="L22" s="12" t="str">
        <f t="shared" si="4"/>
        <v/>
      </c>
      <c r="M22" s="12" t="str">
        <f t="shared" si="5"/>
        <v/>
      </c>
      <c r="N22" s="12" t="str">
        <f t="shared" si="6"/>
        <v/>
      </c>
      <c r="O22" s="13" t="str">
        <f t="shared" si="7"/>
        <v/>
      </c>
      <c r="P22" s="8" t="str">
        <f t="shared" si="8"/>
        <v/>
      </c>
    </row>
    <row r="23" spans="1:16" ht="24" customHeight="1">
      <c r="A23" s="6">
        <v>14</v>
      </c>
      <c r="B23" s="7"/>
      <c r="C23" s="8"/>
      <c r="D23" s="9" t="str">
        <f t="shared" si="0"/>
        <v/>
      </c>
      <c r="E23" s="10" t="str">
        <f t="shared" si="1"/>
        <v/>
      </c>
      <c r="F23" s="11"/>
      <c r="G23" s="11"/>
      <c r="H23" s="11"/>
      <c r="I23" s="11"/>
      <c r="J23" s="12" t="str">
        <f t="shared" si="2"/>
        <v/>
      </c>
      <c r="K23" s="12" t="str">
        <f t="shared" si="3"/>
        <v/>
      </c>
      <c r="L23" s="12" t="str">
        <f t="shared" si="4"/>
        <v/>
      </c>
      <c r="M23" s="12" t="str">
        <f t="shared" si="5"/>
        <v/>
      </c>
      <c r="N23" s="12" t="str">
        <f t="shared" si="6"/>
        <v/>
      </c>
      <c r="O23" s="13" t="str">
        <f t="shared" si="7"/>
        <v/>
      </c>
      <c r="P23" s="8" t="str">
        <f t="shared" si="8"/>
        <v/>
      </c>
    </row>
    <row r="24" spans="1:16" ht="24" customHeight="1">
      <c r="A24" s="6">
        <v>15</v>
      </c>
      <c r="B24" s="7"/>
      <c r="C24" s="8"/>
      <c r="D24" s="9" t="str">
        <f t="shared" si="0"/>
        <v/>
      </c>
      <c r="E24" s="10" t="str">
        <f t="shared" si="1"/>
        <v/>
      </c>
      <c r="F24" s="11"/>
      <c r="G24" s="11"/>
      <c r="H24" s="11"/>
      <c r="I24" s="11"/>
      <c r="J24" s="12" t="str">
        <f t="shared" si="2"/>
        <v/>
      </c>
      <c r="K24" s="12" t="str">
        <f t="shared" si="3"/>
        <v/>
      </c>
      <c r="L24" s="12" t="str">
        <f t="shared" si="4"/>
        <v/>
      </c>
      <c r="M24" s="12" t="str">
        <f t="shared" si="5"/>
        <v/>
      </c>
      <c r="N24" s="12" t="str">
        <f t="shared" si="6"/>
        <v/>
      </c>
      <c r="O24" s="13" t="str">
        <f t="shared" si="7"/>
        <v/>
      </c>
      <c r="P24" s="8" t="str">
        <f t="shared" si="8"/>
        <v/>
      </c>
    </row>
    <row r="25" spans="1:16" ht="24" customHeight="1">
      <c r="A25" s="6">
        <v>16</v>
      </c>
      <c r="B25" s="7"/>
      <c r="C25" s="8"/>
      <c r="D25" s="9" t="str">
        <f t="shared" si="0"/>
        <v/>
      </c>
      <c r="E25" s="10" t="str">
        <f t="shared" si="1"/>
        <v/>
      </c>
      <c r="F25" s="11"/>
      <c r="G25" s="11"/>
      <c r="H25" s="11"/>
      <c r="I25" s="11"/>
      <c r="J25" s="12" t="str">
        <f t="shared" si="2"/>
        <v/>
      </c>
      <c r="K25" s="12" t="str">
        <f t="shared" si="3"/>
        <v/>
      </c>
      <c r="L25" s="12" t="str">
        <f t="shared" si="4"/>
        <v/>
      </c>
      <c r="M25" s="12" t="str">
        <f t="shared" si="5"/>
        <v/>
      </c>
      <c r="N25" s="12" t="str">
        <f t="shared" si="6"/>
        <v/>
      </c>
      <c r="O25" s="13" t="str">
        <f t="shared" si="7"/>
        <v/>
      </c>
      <c r="P25" s="8" t="str">
        <f t="shared" si="8"/>
        <v/>
      </c>
    </row>
    <row r="26" spans="1:16" ht="24" customHeight="1">
      <c r="A26" s="6">
        <v>17</v>
      </c>
      <c r="B26" s="7"/>
      <c r="C26" s="8"/>
      <c r="D26" s="9" t="str">
        <f t="shared" si="0"/>
        <v/>
      </c>
      <c r="E26" s="10" t="str">
        <f t="shared" si="1"/>
        <v/>
      </c>
      <c r="F26" s="11"/>
      <c r="G26" s="11"/>
      <c r="H26" s="11"/>
      <c r="I26" s="11"/>
      <c r="J26" s="12" t="str">
        <f t="shared" si="2"/>
        <v/>
      </c>
      <c r="K26" s="12" t="str">
        <f t="shared" si="3"/>
        <v/>
      </c>
      <c r="L26" s="12" t="str">
        <f t="shared" si="4"/>
        <v/>
      </c>
      <c r="M26" s="12" t="str">
        <f t="shared" si="5"/>
        <v/>
      </c>
      <c r="N26" s="12" t="str">
        <f t="shared" si="6"/>
        <v/>
      </c>
      <c r="O26" s="13" t="str">
        <f t="shared" si="7"/>
        <v/>
      </c>
      <c r="P26" s="8" t="str">
        <f t="shared" si="8"/>
        <v/>
      </c>
    </row>
    <row r="27" spans="1:16" ht="24" customHeight="1">
      <c r="A27" s="6">
        <v>18</v>
      </c>
      <c r="B27" s="7"/>
      <c r="C27" s="8"/>
      <c r="D27" s="9" t="str">
        <f t="shared" si="0"/>
        <v/>
      </c>
      <c r="E27" s="10" t="str">
        <f t="shared" si="1"/>
        <v/>
      </c>
      <c r="F27" s="11"/>
      <c r="G27" s="11"/>
      <c r="H27" s="11"/>
      <c r="I27" s="11"/>
      <c r="J27" s="12" t="str">
        <f t="shared" si="2"/>
        <v/>
      </c>
      <c r="K27" s="12" t="str">
        <f t="shared" si="3"/>
        <v/>
      </c>
      <c r="L27" s="12" t="str">
        <f t="shared" si="4"/>
        <v/>
      </c>
      <c r="M27" s="12" t="str">
        <f t="shared" si="5"/>
        <v/>
      </c>
      <c r="N27" s="12" t="str">
        <f t="shared" si="6"/>
        <v/>
      </c>
      <c r="O27" s="13" t="str">
        <f t="shared" si="7"/>
        <v/>
      </c>
      <c r="P27" s="8" t="str">
        <f t="shared" si="8"/>
        <v/>
      </c>
    </row>
    <row r="28" spans="1:16" ht="24" customHeight="1">
      <c r="A28" s="6">
        <v>19</v>
      </c>
      <c r="B28" s="7"/>
      <c r="C28" s="8"/>
      <c r="D28" s="9" t="str">
        <f t="shared" si="0"/>
        <v/>
      </c>
      <c r="E28" s="10" t="str">
        <f t="shared" si="1"/>
        <v/>
      </c>
      <c r="F28" s="11"/>
      <c r="G28" s="11"/>
      <c r="H28" s="11"/>
      <c r="I28" s="11"/>
      <c r="J28" s="12" t="str">
        <f t="shared" si="2"/>
        <v/>
      </c>
      <c r="K28" s="12" t="str">
        <f t="shared" si="3"/>
        <v/>
      </c>
      <c r="L28" s="12" t="str">
        <f t="shared" si="4"/>
        <v/>
      </c>
      <c r="M28" s="12" t="str">
        <f t="shared" si="5"/>
        <v/>
      </c>
      <c r="N28" s="12" t="str">
        <f t="shared" si="6"/>
        <v/>
      </c>
      <c r="O28" s="13" t="str">
        <f t="shared" si="7"/>
        <v/>
      </c>
      <c r="P28" s="8" t="str">
        <f t="shared" si="8"/>
        <v/>
      </c>
    </row>
    <row r="29" spans="1:16" ht="24" customHeight="1">
      <c r="A29" s="6">
        <v>20</v>
      </c>
      <c r="B29" s="7"/>
      <c r="C29" s="8"/>
      <c r="D29" s="9" t="str">
        <f t="shared" si="0"/>
        <v/>
      </c>
      <c r="E29" s="10" t="str">
        <f t="shared" si="1"/>
        <v/>
      </c>
      <c r="F29" s="11"/>
      <c r="G29" s="11"/>
      <c r="H29" s="11"/>
      <c r="I29" s="11"/>
      <c r="J29" s="12" t="str">
        <f t="shared" si="2"/>
        <v/>
      </c>
      <c r="K29" s="12" t="str">
        <f t="shared" si="3"/>
        <v/>
      </c>
      <c r="L29" s="12" t="str">
        <f t="shared" si="4"/>
        <v/>
      </c>
      <c r="M29" s="12" t="str">
        <f t="shared" si="5"/>
        <v/>
      </c>
      <c r="N29" s="12" t="str">
        <f t="shared" si="6"/>
        <v/>
      </c>
      <c r="O29" s="13" t="str">
        <f t="shared" si="7"/>
        <v/>
      </c>
      <c r="P29" s="8" t="str">
        <f t="shared" si="8"/>
        <v/>
      </c>
    </row>
    <row r="30" spans="1:16" ht="24" customHeight="1">
      <c r="A30" s="6">
        <v>21</v>
      </c>
      <c r="B30" s="7"/>
      <c r="C30" s="8"/>
      <c r="D30" s="9" t="str">
        <f t="shared" si="0"/>
        <v/>
      </c>
      <c r="E30" s="10" t="str">
        <f t="shared" si="1"/>
        <v/>
      </c>
      <c r="F30" s="11"/>
      <c r="G30" s="11"/>
      <c r="H30" s="11"/>
      <c r="I30" s="11"/>
      <c r="J30" s="12" t="str">
        <f t="shared" si="2"/>
        <v/>
      </c>
      <c r="K30" s="12" t="str">
        <f t="shared" si="3"/>
        <v/>
      </c>
      <c r="L30" s="12" t="str">
        <f t="shared" si="4"/>
        <v/>
      </c>
      <c r="M30" s="12" t="str">
        <f t="shared" si="5"/>
        <v/>
      </c>
      <c r="N30" s="12" t="str">
        <f t="shared" si="6"/>
        <v/>
      </c>
      <c r="O30" s="13" t="str">
        <f t="shared" si="7"/>
        <v/>
      </c>
      <c r="P30" s="8" t="str">
        <f t="shared" si="8"/>
        <v/>
      </c>
    </row>
    <row r="31" spans="1:16" ht="24" customHeight="1">
      <c r="A31" s="6">
        <v>22</v>
      </c>
      <c r="B31" s="7"/>
      <c r="C31" s="8"/>
      <c r="D31" s="9" t="str">
        <f t="shared" si="0"/>
        <v/>
      </c>
      <c r="E31" s="10" t="str">
        <f t="shared" si="1"/>
        <v/>
      </c>
      <c r="F31" s="11"/>
      <c r="G31" s="11"/>
      <c r="H31" s="11"/>
      <c r="I31" s="11"/>
      <c r="J31" s="12" t="str">
        <f t="shared" si="2"/>
        <v/>
      </c>
      <c r="K31" s="12" t="str">
        <f t="shared" si="3"/>
        <v/>
      </c>
      <c r="L31" s="12" t="str">
        <f t="shared" si="4"/>
        <v/>
      </c>
      <c r="M31" s="12" t="str">
        <f t="shared" si="5"/>
        <v/>
      </c>
      <c r="N31" s="12" t="str">
        <f t="shared" si="6"/>
        <v/>
      </c>
      <c r="O31" s="13" t="str">
        <f t="shared" si="7"/>
        <v/>
      </c>
      <c r="P31" s="8" t="str">
        <f t="shared" si="8"/>
        <v/>
      </c>
    </row>
    <row r="32" spans="1:16" ht="24" customHeight="1">
      <c r="A32" s="6">
        <v>23</v>
      </c>
      <c r="B32" s="7"/>
      <c r="C32" s="8"/>
      <c r="D32" s="9" t="str">
        <f t="shared" si="0"/>
        <v/>
      </c>
      <c r="E32" s="10" t="str">
        <f t="shared" si="1"/>
        <v/>
      </c>
      <c r="F32" s="11"/>
      <c r="G32" s="11"/>
      <c r="H32" s="11"/>
      <c r="I32" s="11"/>
      <c r="J32" s="12" t="str">
        <f t="shared" si="2"/>
        <v/>
      </c>
      <c r="K32" s="12" t="str">
        <f t="shared" si="3"/>
        <v/>
      </c>
      <c r="L32" s="12" t="str">
        <f t="shared" si="4"/>
        <v/>
      </c>
      <c r="M32" s="12" t="str">
        <f t="shared" si="5"/>
        <v/>
      </c>
      <c r="N32" s="12" t="str">
        <f t="shared" si="6"/>
        <v/>
      </c>
      <c r="O32" s="13" t="str">
        <f t="shared" si="7"/>
        <v/>
      </c>
      <c r="P32" s="8" t="str">
        <f t="shared" si="8"/>
        <v/>
      </c>
    </row>
    <row r="33" spans="1:16" ht="24" customHeight="1">
      <c r="A33" s="6">
        <v>24</v>
      </c>
      <c r="B33" s="7"/>
      <c r="C33" s="8"/>
      <c r="D33" s="9" t="str">
        <f t="shared" si="0"/>
        <v/>
      </c>
      <c r="E33" s="10" t="str">
        <f t="shared" si="1"/>
        <v/>
      </c>
      <c r="F33" s="11"/>
      <c r="G33" s="11"/>
      <c r="H33" s="11"/>
      <c r="I33" s="11"/>
      <c r="J33" s="12" t="str">
        <f t="shared" si="2"/>
        <v/>
      </c>
      <c r="K33" s="12" t="str">
        <f t="shared" si="3"/>
        <v/>
      </c>
      <c r="L33" s="12" t="str">
        <f t="shared" si="4"/>
        <v/>
      </c>
      <c r="M33" s="12" t="str">
        <f t="shared" si="5"/>
        <v/>
      </c>
      <c r="N33" s="12" t="str">
        <f t="shared" si="6"/>
        <v/>
      </c>
      <c r="O33" s="13" t="str">
        <f t="shared" si="7"/>
        <v/>
      </c>
      <c r="P33" s="8" t="str">
        <f t="shared" si="8"/>
        <v/>
      </c>
    </row>
    <row r="34" spans="1:16" ht="24" customHeight="1">
      <c r="A34" s="6">
        <v>25</v>
      </c>
      <c r="B34" s="7"/>
      <c r="C34" s="8"/>
      <c r="D34" s="9" t="str">
        <f t="shared" si="0"/>
        <v/>
      </c>
      <c r="E34" s="10" t="str">
        <f t="shared" si="1"/>
        <v/>
      </c>
      <c r="F34" s="11"/>
      <c r="G34" s="11"/>
      <c r="H34" s="11"/>
      <c r="I34" s="11"/>
      <c r="J34" s="12" t="str">
        <f t="shared" si="2"/>
        <v/>
      </c>
      <c r="K34" s="12" t="str">
        <f t="shared" si="3"/>
        <v/>
      </c>
      <c r="L34" s="12" t="str">
        <f t="shared" si="4"/>
        <v/>
      </c>
      <c r="M34" s="12" t="str">
        <f t="shared" si="5"/>
        <v/>
      </c>
      <c r="N34" s="12" t="str">
        <f t="shared" si="6"/>
        <v/>
      </c>
      <c r="O34" s="13" t="str">
        <f t="shared" si="7"/>
        <v/>
      </c>
      <c r="P34" s="8" t="str">
        <f t="shared" si="8"/>
        <v/>
      </c>
    </row>
    <row r="35" spans="1:16" ht="24" customHeight="1">
      <c r="A35" s="6">
        <v>26</v>
      </c>
      <c r="B35" s="7"/>
      <c r="C35" s="8"/>
      <c r="D35" s="9" t="str">
        <f t="shared" si="0"/>
        <v/>
      </c>
      <c r="E35" s="10" t="str">
        <f t="shared" si="1"/>
        <v/>
      </c>
      <c r="F35" s="11"/>
      <c r="G35" s="11"/>
      <c r="H35" s="11"/>
      <c r="I35" s="11"/>
      <c r="J35" s="12" t="str">
        <f t="shared" si="2"/>
        <v/>
      </c>
      <c r="K35" s="12" t="str">
        <f t="shared" si="3"/>
        <v/>
      </c>
      <c r="L35" s="12" t="str">
        <f t="shared" si="4"/>
        <v/>
      </c>
      <c r="M35" s="12" t="str">
        <f t="shared" si="5"/>
        <v/>
      </c>
      <c r="N35" s="12" t="str">
        <f t="shared" si="6"/>
        <v/>
      </c>
      <c r="O35" s="13" t="str">
        <f t="shared" si="7"/>
        <v/>
      </c>
      <c r="P35" s="8" t="str">
        <f t="shared" si="8"/>
        <v/>
      </c>
    </row>
    <row r="36" spans="1:16" ht="24" customHeight="1">
      <c r="A36" s="6">
        <v>27</v>
      </c>
      <c r="B36" s="7"/>
      <c r="C36" s="8"/>
      <c r="D36" s="9" t="str">
        <f t="shared" si="0"/>
        <v/>
      </c>
      <c r="E36" s="10" t="str">
        <f t="shared" si="1"/>
        <v/>
      </c>
      <c r="F36" s="11"/>
      <c r="G36" s="11"/>
      <c r="H36" s="11"/>
      <c r="I36" s="11"/>
      <c r="J36" s="12" t="str">
        <f t="shared" si="2"/>
        <v/>
      </c>
      <c r="K36" s="12" t="str">
        <f t="shared" si="3"/>
        <v/>
      </c>
      <c r="L36" s="12" t="str">
        <f t="shared" si="4"/>
        <v/>
      </c>
      <c r="M36" s="12" t="str">
        <f t="shared" si="5"/>
        <v/>
      </c>
      <c r="N36" s="12" t="str">
        <f t="shared" si="6"/>
        <v/>
      </c>
      <c r="O36" s="13" t="str">
        <f t="shared" si="7"/>
        <v/>
      </c>
      <c r="P36" s="8" t="str">
        <f t="shared" si="8"/>
        <v/>
      </c>
    </row>
    <row r="37" spans="1:16" ht="24" customHeight="1">
      <c r="A37" s="6">
        <v>28</v>
      </c>
      <c r="B37" s="7"/>
      <c r="C37" s="8"/>
      <c r="D37" s="9" t="str">
        <f t="shared" si="0"/>
        <v/>
      </c>
      <c r="E37" s="10" t="str">
        <f t="shared" si="1"/>
        <v/>
      </c>
      <c r="F37" s="11"/>
      <c r="G37" s="11"/>
      <c r="H37" s="11"/>
      <c r="I37" s="11"/>
      <c r="J37" s="12" t="str">
        <f t="shared" si="2"/>
        <v/>
      </c>
      <c r="K37" s="12" t="str">
        <f t="shared" si="3"/>
        <v/>
      </c>
      <c r="L37" s="12" t="str">
        <f t="shared" si="4"/>
        <v/>
      </c>
      <c r="M37" s="12" t="str">
        <f t="shared" si="5"/>
        <v/>
      </c>
      <c r="N37" s="12" t="str">
        <f t="shared" si="6"/>
        <v/>
      </c>
      <c r="O37" s="13" t="str">
        <f t="shared" si="7"/>
        <v/>
      </c>
      <c r="P37" s="8" t="str">
        <f t="shared" si="8"/>
        <v/>
      </c>
    </row>
    <row r="38" spans="1:16" ht="24" customHeight="1">
      <c r="A38" s="6">
        <v>29</v>
      </c>
      <c r="B38" s="7"/>
      <c r="C38" s="8"/>
      <c r="D38" s="9" t="str">
        <f t="shared" si="0"/>
        <v/>
      </c>
      <c r="E38" s="10" t="str">
        <f t="shared" si="1"/>
        <v/>
      </c>
      <c r="F38" s="11"/>
      <c r="G38" s="11"/>
      <c r="H38" s="11"/>
      <c r="I38" s="11"/>
      <c r="J38" s="12" t="str">
        <f t="shared" si="2"/>
        <v/>
      </c>
      <c r="K38" s="12" t="str">
        <f t="shared" si="3"/>
        <v/>
      </c>
      <c r="L38" s="12" t="str">
        <f t="shared" si="4"/>
        <v/>
      </c>
      <c r="M38" s="12" t="str">
        <f t="shared" si="5"/>
        <v/>
      </c>
      <c r="N38" s="12" t="str">
        <f t="shared" si="6"/>
        <v/>
      </c>
      <c r="O38" s="13" t="str">
        <f t="shared" si="7"/>
        <v/>
      </c>
      <c r="P38" s="8" t="str">
        <f t="shared" si="8"/>
        <v/>
      </c>
    </row>
    <row r="39" spans="1:16" ht="24" customHeight="1">
      <c r="A39" s="6" t="s">
        <v>32</v>
      </c>
      <c r="B39" s="7"/>
      <c r="C39" s="8"/>
      <c r="D39" s="9"/>
      <c r="E39" s="10"/>
      <c r="F39" s="11"/>
      <c r="G39" s="11"/>
      <c r="H39" s="11"/>
      <c r="I39" s="11"/>
      <c r="J39" s="12"/>
      <c r="K39" s="12"/>
      <c r="L39" s="12"/>
      <c r="M39" s="12"/>
      <c r="N39" s="12"/>
      <c r="O39" s="13"/>
      <c r="P39" s="8"/>
    </row>
  </sheetData>
  <mergeCells count="5">
    <mergeCell ref="A1:P1"/>
    <mergeCell ref="A2:P2"/>
    <mergeCell ref="A4:E4"/>
    <mergeCell ref="G4:P4"/>
    <mergeCell ref="G5:P7"/>
  </mergeCells>
  <phoneticPr fontId="7" type="noConversion"/>
  <conditionalFormatting sqref="O10:O39">
    <cfRule type="dataBar" priority="1">
      <dataBar>
        <cfvo type="min"/>
        <cfvo type="max"/>
        <color rgb="FF0F766E"/>
      </dataBar>
    </cfRule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{FC1A6A47-5CFF-7702-3DBF-8AB41BE9F9A6}</x14:id>
        </ext>
      </extLst>
    </cfRule>
  </conditionalFormatting>
  <dataValidations count="1">
    <dataValidation type="list" sqref="B6 D10:D39" xr:uid="{00000000-0002-0000-0000-000000000000}">
      <formula1>"5TON,8TON,9.5TON,11TON"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1A6A47-5CFF-7702-3DBF-8AB41BE9F9A6}">
            <x14:dataBar>
              <x14:cfvo type="min"/>
              <x14:cfvo type="max"/>
              <x14:negativeFillColor auto="1"/>
              <x14:axisColor auto="1"/>
            </x14:dataBar>
          </x14:cfRule>
          <xm:sqref>O10:O39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J24" sqref="J24"/>
    </sheetView>
  </sheetViews>
  <sheetFormatPr defaultRowHeight="13.8"/>
  <cols>
    <col min="1" max="1" width="12" customWidth="1"/>
    <col min="2" max="2" width="14" customWidth="1"/>
    <col min="3" max="3" width="18.5" customWidth="1"/>
    <col min="4" max="4" width="14" customWidth="1"/>
    <col min="5" max="5" width="17" customWidth="1"/>
    <col min="6" max="6" width="16" customWidth="1"/>
    <col min="7" max="7" width="4" customWidth="1"/>
    <col min="8" max="8" width="16" customWidth="1"/>
    <col min="9" max="9" width="24" customWidth="1"/>
    <col min="10" max="11" width="15" customWidth="1"/>
  </cols>
  <sheetData>
    <row r="1" spans="1:11" ht="19.2" customHeight="1">
      <c r="A1" s="32" t="s">
        <v>33</v>
      </c>
      <c r="B1" s="27"/>
      <c r="C1" s="27"/>
      <c r="D1" s="27"/>
      <c r="E1" s="27"/>
      <c r="F1" s="27"/>
      <c r="G1" s="27"/>
      <c r="H1" s="27"/>
    </row>
    <row r="3" spans="1:11" ht="15" customHeight="1">
      <c r="A3" s="14" t="s">
        <v>8</v>
      </c>
      <c r="B3" s="14" t="s">
        <v>6</v>
      </c>
      <c r="C3" s="14" t="s">
        <v>10</v>
      </c>
      <c r="D3" s="14" t="s">
        <v>12</v>
      </c>
      <c r="E3" s="14" t="s">
        <v>34</v>
      </c>
      <c r="H3" s="33" t="s">
        <v>35</v>
      </c>
      <c r="I3" s="27"/>
      <c r="J3" s="27"/>
      <c r="K3" s="27"/>
    </row>
    <row r="4" spans="1:11" ht="15" customHeight="1">
      <c r="A4" s="15" t="s">
        <v>36</v>
      </c>
      <c r="B4" s="16">
        <v>8400</v>
      </c>
      <c r="C4" s="16">
        <v>2350</v>
      </c>
      <c r="D4" s="16">
        <v>2750</v>
      </c>
      <c r="E4" s="17">
        <v>4.2</v>
      </c>
      <c r="H4" s="1" t="s">
        <v>8</v>
      </c>
      <c r="I4" s="3" t="s">
        <v>9</v>
      </c>
    </row>
    <row r="5" spans="1:11" ht="15" customHeight="1">
      <c r="A5" s="15" t="s">
        <v>37</v>
      </c>
      <c r="B5" s="16">
        <v>8900</v>
      </c>
      <c r="C5" s="16">
        <v>2340</v>
      </c>
      <c r="D5" s="16">
        <v>2750</v>
      </c>
      <c r="E5" s="17">
        <v>6.8</v>
      </c>
      <c r="H5" s="1" t="s">
        <v>38</v>
      </c>
      <c r="I5" s="3">
        <v>70</v>
      </c>
    </row>
    <row r="6" spans="1:11" ht="15" customHeight="1">
      <c r="A6" s="15" t="s">
        <v>9</v>
      </c>
      <c r="B6" s="16">
        <v>10100</v>
      </c>
      <c r="C6" s="16">
        <v>2340</v>
      </c>
      <c r="D6" s="16">
        <v>2750</v>
      </c>
      <c r="E6" s="17">
        <v>8.3000000000000007</v>
      </c>
      <c r="H6" s="1" t="s">
        <v>39</v>
      </c>
      <c r="I6" s="18">
        <f>IFERROR(IF(I5&lt;=60,VLOOKUP(I4,$A$11:$F$14,2,FALSE)*I5+VLOOKUP(I4,$A$11:$F$14,3,FALSE),VLOOKUP(I4,$A$11:$F$14,4,FALSE)*I5+VLOOKUP(I4,$A$11:$F$14,5,FALSE)),"")</f>
        <v>155066</v>
      </c>
    </row>
    <row r="7" spans="1:11" ht="15" customHeight="1">
      <c r="A7" s="15" t="s">
        <v>40</v>
      </c>
      <c r="B7" s="16">
        <v>9250</v>
      </c>
      <c r="C7" s="16">
        <v>2340</v>
      </c>
      <c r="D7" s="16">
        <v>2520</v>
      </c>
      <c r="E7" s="17">
        <v>9.9</v>
      </c>
      <c r="H7" s="1" t="s">
        <v>41</v>
      </c>
      <c r="I7" t="s">
        <v>42</v>
      </c>
    </row>
    <row r="8" spans="1:11" ht="15" customHeight="1"/>
    <row r="9" spans="1:11" ht="15" customHeight="1"/>
    <row r="10" spans="1:11" ht="26.4" customHeight="1">
      <c r="A10" s="4" t="s">
        <v>8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34</v>
      </c>
      <c r="H10" s="33" t="s">
        <v>47</v>
      </c>
      <c r="I10" s="27"/>
      <c r="J10" s="27"/>
      <c r="K10" s="27"/>
    </row>
    <row r="11" spans="1:11" ht="15" customHeight="1">
      <c r="A11" s="15" t="s">
        <v>36</v>
      </c>
      <c r="B11" s="16">
        <v>1195</v>
      </c>
      <c r="C11" s="16">
        <v>46726</v>
      </c>
      <c r="D11" s="16">
        <v>1158</v>
      </c>
      <c r="E11" s="16">
        <v>53225</v>
      </c>
      <c r="F11" s="17">
        <v>4.2</v>
      </c>
      <c r="H11" s="1" t="s">
        <v>48</v>
      </c>
      <c r="I11" t="s">
        <v>49</v>
      </c>
    </row>
    <row r="12" spans="1:11" ht="15" customHeight="1">
      <c r="A12" s="15" t="s">
        <v>37</v>
      </c>
      <c r="B12" s="16">
        <v>1321</v>
      </c>
      <c r="C12" s="16">
        <v>47064</v>
      </c>
      <c r="D12" s="16">
        <v>1287</v>
      </c>
      <c r="E12" s="16">
        <v>53511</v>
      </c>
      <c r="F12" s="17">
        <v>6.8</v>
      </c>
      <c r="H12" s="1" t="s">
        <v>11</v>
      </c>
      <c r="I12" s="19">
        <v>155066</v>
      </c>
      <c r="J12" t="s">
        <v>50</v>
      </c>
      <c r="K12" s="20">
        <v>252</v>
      </c>
    </row>
    <row r="13" spans="1:11" ht="15" customHeight="1">
      <c r="A13" s="15" t="s">
        <v>9</v>
      </c>
      <c r="B13" s="16">
        <v>1451</v>
      </c>
      <c r="C13" s="16">
        <v>49469</v>
      </c>
      <c r="D13" s="16">
        <v>1411</v>
      </c>
      <c r="E13" s="16">
        <v>56296</v>
      </c>
      <c r="F13" s="17">
        <v>8.3000000000000007</v>
      </c>
      <c r="H13" s="1" t="s">
        <v>51</v>
      </c>
      <c r="I13" s="21">
        <f>IFERROR(ROUND(I12/K12,1),"")</f>
        <v>615.29999999999995</v>
      </c>
    </row>
    <row r="14" spans="1:11" ht="15" customHeight="1">
      <c r="A14" s="15" t="s">
        <v>40</v>
      </c>
      <c r="B14" s="16">
        <v>1513</v>
      </c>
      <c r="C14" s="16">
        <v>49116</v>
      </c>
      <c r="D14" s="16">
        <v>1504</v>
      </c>
      <c r="E14" s="16">
        <v>54973</v>
      </c>
      <c r="F14" s="17">
        <v>9.9</v>
      </c>
    </row>
  </sheetData>
  <mergeCells count="3">
    <mergeCell ref="A1:H1"/>
    <mergeCell ref="H3:K3"/>
    <mergeCell ref="H10:K10"/>
  </mergeCells>
  <phoneticPr fontId="7" type="noConversion"/>
  <dataValidations count="1">
    <dataValidation type="list" sqref="I4" xr:uid="{00000000-0002-0000-0100-000000000000}">
      <formula1>"5TON,8TON,9.5TON,11TON"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sqref="A1:F1"/>
    </sheetView>
  </sheetViews>
  <sheetFormatPr defaultRowHeight="13.8"/>
  <cols>
    <col min="1" max="1" width="18" customWidth="1"/>
    <col min="2" max="2" width="95" customWidth="1"/>
  </cols>
  <sheetData>
    <row r="1" spans="1:6" ht="19.2" customHeight="1">
      <c r="A1" s="32" t="s">
        <v>52</v>
      </c>
      <c r="B1" s="27"/>
      <c r="C1" s="27"/>
      <c r="D1" s="27"/>
      <c r="E1" s="27"/>
      <c r="F1" s="27"/>
    </row>
    <row r="3" spans="1:6" ht="15" customHeight="1">
      <c r="A3" s="14" t="s">
        <v>53</v>
      </c>
      <c r="B3" s="14" t="s">
        <v>54</v>
      </c>
    </row>
    <row r="4" spans="1:6" ht="26.4" customHeight="1">
      <c r="A4" s="2" t="s">
        <v>55</v>
      </c>
      <c r="B4" s="22" t="s">
        <v>56</v>
      </c>
    </row>
    <row r="5" spans="1:6" ht="15" customHeight="1">
      <c r="A5" s="2" t="s">
        <v>57</v>
      </c>
      <c r="B5" s="22" t="s">
        <v>58</v>
      </c>
    </row>
    <row r="6" spans="1:6" ht="15" customHeight="1">
      <c r="A6" s="2" t="s">
        <v>59</v>
      </c>
      <c r="B6" s="22" t="s">
        <v>60</v>
      </c>
    </row>
    <row r="7" spans="1:6" ht="26.4" customHeight="1">
      <c r="A7" s="2" t="s">
        <v>61</v>
      </c>
      <c r="B7" s="22" t="s">
        <v>62</v>
      </c>
    </row>
    <row r="8" spans="1:6" ht="15" customHeight="1">
      <c r="A8" s="2" t="s">
        <v>63</v>
      </c>
      <c r="B8" s="22" t="s">
        <v>64</v>
      </c>
    </row>
    <row r="9" spans="1:6" ht="26.4" customHeight="1">
      <c r="A9" s="2" t="s">
        <v>65</v>
      </c>
      <c r="B9" s="22" t="s">
        <v>66</v>
      </c>
    </row>
  </sheetData>
  <mergeCells count="1">
    <mergeCell ref="A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운송비관리시트</vt:lpstr>
      <vt:lpstr>운송비기준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병섭 방</cp:lastModifiedBy>
  <dcterms:created xsi:type="dcterms:W3CDTF">2026-05-08T00:59:21Z</dcterms:created>
  <dcterms:modified xsi:type="dcterms:W3CDTF">2026-05-08T01:04:07Z</dcterms:modified>
</cp:coreProperties>
</file>